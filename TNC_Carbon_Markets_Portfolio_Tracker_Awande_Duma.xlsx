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udent\OneDrive\Desktop\PortfolioProjects\"/>
    </mc:Choice>
  </mc:AlternateContent>
  <xr:revisionPtr revIDLastSave="0" documentId="13_ncr:1_{CB69FFCF-9B34-455F-971F-41E06AC500EE}" xr6:coauthVersionLast="47" xr6:coauthVersionMax="47" xr10:uidLastSave="{00000000-0000-0000-0000-000000000000}"/>
  <bookViews>
    <workbookView xWindow="-120" yWindow="-120" windowWidth="20730" windowHeight="11160" xr2:uid="{6FDC46B9-BC14-4391-9E3E-66D3679A01BA}"/>
  </bookViews>
  <sheets>
    <sheet name="Project Registry" sheetId="1" r:id="rId1"/>
    <sheet name="Credit Issuance Tracker" sheetId="3" r:id="rId2"/>
    <sheet name="KPI Dashboard" sheetId="4" r:id="rId3"/>
    <sheet name="Risk and Milestone Tracker" sheetId="5" r:id="rId4"/>
    <sheet name="Donor Report Summary" sheetId="6" r:id="rId5"/>
    <sheet name="data_validation" sheetId="2" state="hidden"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3" i="6" l="1"/>
  <c r="B11" i="6"/>
  <c r="B9" i="6"/>
  <c r="B8" i="6"/>
  <c r="B4" i="6"/>
  <c r="F2" i="5"/>
  <c r="P29" i="4"/>
  <c r="P28" i="4"/>
  <c r="P27" i="4"/>
  <c r="P26" i="4"/>
  <c r="V38" i="4"/>
  <c r="V37" i="4"/>
  <c r="V36" i="4"/>
  <c r="V35" i="4"/>
  <c r="V34" i="4"/>
  <c r="V33" i="4"/>
  <c r="V32" i="4"/>
  <c r="P21" i="4"/>
  <c r="P20" i="4"/>
  <c r="P19" i="4"/>
  <c r="P18" i="4"/>
  <c r="P17" i="4"/>
  <c r="P15" i="4"/>
  <c r="P14" i="4"/>
  <c r="P13" i="4"/>
  <c r="P11" i="4"/>
  <c r="P10" i="4"/>
  <c r="P9" i="4"/>
  <c r="P8" i="4"/>
  <c r="P7" i="4" a="1"/>
  <c r="P7" i="4" s="1"/>
  <c r="B7" i="6" s="1"/>
  <c r="B3" i="4"/>
  <c r="J3" i="3"/>
  <c r="J4" i="3"/>
  <c r="J5" i="3"/>
  <c r="J6" i="3"/>
  <c r="J7" i="3"/>
  <c r="J8" i="3"/>
  <c r="J9" i="3"/>
  <c r="J10" i="3"/>
  <c r="J11" i="3"/>
  <c r="J2" i="3"/>
  <c r="P4" i="1"/>
  <c r="P9" i="1"/>
  <c r="P8" i="1"/>
  <c r="P7" i="1"/>
  <c r="P6" i="1"/>
  <c r="P5" i="1"/>
  <c r="P3" i="1"/>
  <c r="P2" i="1"/>
  <c r="P12" i="4" s="1"/>
  <c r="B14" i="6" l="1"/>
  <c r="P16" i="4"/>
  <c r="B1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<sst xmlns="http://schemas.openxmlformats.org/spreadsheetml/2006/main" count="368" uniqueCount="231">
  <si>
    <t>Project ID</t>
  </si>
  <si>
    <t>Project Name</t>
  </si>
  <si>
    <t>Country</t>
  </si>
  <si>
    <t>Region</t>
  </si>
  <si>
    <t>Project Type</t>
  </si>
  <si>
    <t>Ecosystem</t>
  </si>
  <si>
    <t>Standard</t>
  </si>
  <si>
    <t>Project Stage</t>
  </si>
  <si>
    <t>Start Date</t>
  </si>
  <si>
    <t>End Date</t>
  </si>
  <si>
    <t>Total Hectares</t>
  </si>
  <si>
    <t>Estimated Annual Credits (tCO2e)</t>
  </si>
  <si>
    <t>Total Lifetime Credits (tCO2e)</t>
  </si>
  <si>
    <t>Credits Issued to Date</t>
  </si>
  <si>
    <t>Credits Retired</t>
  </si>
  <si>
    <t>Credits Available</t>
  </si>
  <si>
    <t>Project Lead</t>
  </si>
  <si>
    <t>Last Updated</t>
  </si>
  <si>
    <t>Notes</t>
  </si>
  <si>
    <t>REDD+</t>
  </si>
  <si>
    <t>Afforestation/Reforestation</t>
  </si>
  <si>
    <t>Improved Forest Management</t>
  </si>
  <si>
    <t>Wetland Restoration</t>
  </si>
  <si>
    <t>Blue Carbon</t>
  </si>
  <si>
    <t>Agroforestry</t>
  </si>
  <si>
    <t>Grassland Management</t>
  </si>
  <si>
    <t>Tropical Forest</t>
  </si>
  <si>
    <t>Temperate Forest</t>
  </si>
  <si>
    <t>Boreal Forest</t>
  </si>
  <si>
    <t>Wetland</t>
  </si>
  <si>
    <t>Mangrove</t>
  </si>
  <si>
    <t>Grassland</t>
  </si>
  <si>
    <t>Peatland</t>
  </si>
  <si>
    <t>Coastal</t>
  </si>
  <si>
    <t>Verra VCS</t>
  </si>
  <si>
    <t>Gold Standard</t>
  </si>
  <si>
    <t>American Carbon Registry</t>
  </si>
  <si>
    <t>Climate Action Reserve</t>
  </si>
  <si>
    <t>Plan Vivo</t>
  </si>
  <si>
    <t>Architecture for REDD+ Transactions</t>
  </si>
  <si>
    <t>Concept</t>
  </si>
  <si>
    <t>Development</t>
  </si>
  <si>
    <t>Validation</t>
  </si>
  <si>
    <t>Registered</t>
  </si>
  <si>
    <t>Verification</t>
  </si>
  <si>
    <t>Credits Issued</t>
  </si>
  <si>
    <t>Retired</t>
  </si>
  <si>
    <t>On Hold</t>
  </si>
  <si>
    <t>Cancelled</t>
  </si>
  <si>
    <t>CP-001</t>
  </si>
  <si>
    <t>CP-002</t>
  </si>
  <si>
    <t>CP-003</t>
  </si>
  <si>
    <t>CP-004</t>
  </si>
  <si>
    <t>CP-005</t>
  </si>
  <si>
    <t>CP-006</t>
  </si>
  <si>
    <t>CP-007</t>
  </si>
  <si>
    <t>CP-008</t>
  </si>
  <si>
    <t>CP-009</t>
  </si>
  <si>
    <t>CP-010</t>
  </si>
  <si>
    <t>Amazon Boundary Forest</t>
  </si>
  <si>
    <t>Brazil</t>
  </si>
  <si>
    <t>Latin America</t>
  </si>
  <si>
    <t>01/01/2020</t>
  </si>
  <si>
    <t>31/12/2049</t>
  </si>
  <si>
    <t>Maria Santos</t>
  </si>
  <si>
    <t>Zambezi Delta Wetlands</t>
  </si>
  <si>
    <t>Mozambique</t>
  </si>
  <si>
    <t>Africa</t>
  </si>
  <si>
    <t>01/06/2021</t>
  </si>
  <si>
    <t>31/05/2051</t>
  </si>
  <si>
    <t>James Okafor</t>
  </si>
  <si>
    <t>Sundarbans Mangrove</t>
  </si>
  <si>
    <t>Congo Basin IFM</t>
  </si>
  <si>
    <t>Patagonia Grasslands</t>
  </si>
  <si>
    <t>Scottish Peatland Restoration</t>
  </si>
  <si>
    <t>Bangladesh</t>
  </si>
  <si>
    <t>DRC</t>
  </si>
  <si>
    <t>Argentina</t>
  </si>
  <si>
    <t>United Kingdom</t>
  </si>
  <si>
    <t>Asia Pacific</t>
  </si>
  <si>
    <t>Europe</t>
  </si>
  <si>
    <t>01/03/2019</t>
  </si>
  <si>
    <t>15/09/2022</t>
  </si>
  <si>
    <t>01/01/2023</t>
  </si>
  <si>
    <t>01/04/2018</t>
  </si>
  <si>
    <t>31/03/2048</t>
  </si>
  <si>
    <t>31/12/2052</t>
  </si>
  <si>
    <t>14/09/2052</t>
  </si>
  <si>
    <t>28/02/2049</t>
  </si>
  <si>
    <t>Priya Nair</t>
  </si>
  <si>
    <t>Awande Duma</t>
  </si>
  <si>
    <t>Carlos Mendez</t>
  </si>
  <si>
    <t>Fiona MacLeod</t>
  </si>
  <si>
    <t>Mekong Delta Blue Carbon</t>
  </si>
  <si>
    <t>West African Agroforestry</t>
  </si>
  <si>
    <t>Vietnam</t>
  </si>
  <si>
    <t>Ghana</t>
  </si>
  <si>
    <t>01/07/2023</t>
  </si>
  <si>
    <t>01/02/2022</t>
  </si>
  <si>
    <t>31/01/2052</t>
  </si>
  <si>
    <t>30/06/2053</t>
  </si>
  <si>
    <t>Linh Nguyen</t>
  </si>
  <si>
    <t>Kwame Asante</t>
  </si>
  <si>
    <t>Transaction ID</t>
  </si>
  <si>
    <t>Transaction Type</t>
  </si>
  <si>
    <t>Transaction Date</t>
  </si>
  <si>
    <t>Volume (tCO2e)</t>
  </si>
  <si>
    <t>Vintage Year</t>
  </si>
  <si>
    <t>Buyer or Recipient</t>
  </si>
  <si>
    <t>Transaction Value (USD)</t>
  </si>
  <si>
    <t>Price per Credit</t>
  </si>
  <si>
    <t>Serial Number Range</t>
  </si>
  <si>
    <t>Status</t>
  </si>
  <si>
    <t>Issuance</t>
  </si>
  <si>
    <t>Retirement</t>
  </si>
  <si>
    <t>Buffer Pool Contribution</t>
  </si>
  <si>
    <t>Forward Sale</t>
  </si>
  <si>
    <t>Cancellation</t>
  </si>
  <si>
    <t>Confirmed</t>
  </si>
  <si>
    <t>Pending</t>
  </si>
  <si>
    <t>Disputed</t>
  </si>
  <si>
    <t>Verifiction Body</t>
  </si>
  <si>
    <t>TXN - 001</t>
  </si>
  <si>
    <t>TXN - 002</t>
  </si>
  <si>
    <t>TXN - 003</t>
  </si>
  <si>
    <t>TXN - 004</t>
  </si>
  <si>
    <t>TXN - 005</t>
  </si>
  <si>
    <t>TXN - 006</t>
  </si>
  <si>
    <t>TXN - 007</t>
  </si>
  <si>
    <t>TXN - 008</t>
  </si>
  <si>
    <t>TXN - 009</t>
  </si>
  <si>
    <t>TXN - 010</t>
  </si>
  <si>
    <t>15/03/2021</t>
  </si>
  <si>
    <t>22/06/2021</t>
  </si>
  <si>
    <t>01/04/2020</t>
  </si>
  <si>
    <t>15/09/2020</t>
  </si>
  <si>
    <t>01/07/2019</t>
  </si>
  <si>
    <t>Carbon Pool</t>
  </si>
  <si>
    <t>Microsoft Corporation</t>
  </si>
  <si>
    <t>Shell International</t>
  </si>
  <si>
    <t>Bureau Veritas</t>
  </si>
  <si>
    <t>DNV</t>
  </si>
  <si>
    <t>SGS</t>
  </si>
  <si>
    <t>SCS Global</t>
  </si>
  <si>
    <t>30/11/2019</t>
  </si>
  <si>
    <t>01/03/2022</t>
  </si>
  <si>
    <t>14/08/2022</t>
  </si>
  <si>
    <t>15/04/2021</t>
  </si>
  <si>
    <t>01/10/2022</t>
  </si>
  <si>
    <t>Apple Inc</t>
  </si>
  <si>
    <t>Unilever PLC</t>
  </si>
  <si>
    <t>TNC Carbon Markets - Portfolio KPI Dashboard</t>
  </si>
  <si>
    <t xml:space="preserve">Last Updated: </t>
  </si>
  <si>
    <t>Total Projects in Portfolio</t>
  </si>
  <si>
    <t>Projects with Credits Issued</t>
  </si>
  <si>
    <t>Projects in Development or Validation</t>
  </si>
  <si>
    <t>Total Credits Issued (tCO2e)</t>
  </si>
  <si>
    <t>Total Credits Retired (tCO2e)</t>
  </si>
  <si>
    <t>Total Credits Available (tCO2e)</t>
  </si>
  <si>
    <t>Retirement Rate (%)</t>
  </si>
  <si>
    <t>Total Estimated Lifetime Credits (tCO2e)</t>
  </si>
  <si>
    <t>Total Transaction Value (USD)</t>
  </si>
  <si>
    <t>Average Price per Credit Retired (USD)</t>
  </si>
  <si>
    <t>Projects by Verra VCS</t>
  </si>
  <si>
    <t>Projects by Gold Standard</t>
  </si>
  <si>
    <t>Africa Projects</t>
  </si>
  <si>
    <t>Latin America Projects</t>
  </si>
  <si>
    <t>Asia Pacific Projects</t>
  </si>
  <si>
    <t>KPI</t>
  </si>
  <si>
    <t>Value</t>
  </si>
  <si>
    <t>Stage</t>
  </si>
  <si>
    <t>Count</t>
  </si>
  <si>
    <t>Credit Issued</t>
  </si>
  <si>
    <t>Scottish Peatland</t>
  </si>
  <si>
    <t>Zambezi Delta</t>
  </si>
  <si>
    <t>Milestone</t>
  </si>
  <si>
    <t>Due Date</t>
  </si>
  <si>
    <t>Days Overdue</t>
  </si>
  <si>
    <t>Risk Level</t>
  </si>
  <si>
    <t>Risk Description</t>
  </si>
  <si>
    <t>Mitigation Action</t>
  </si>
  <si>
    <t>Owner</t>
  </si>
  <si>
    <t>30/13/2026</t>
  </si>
  <si>
    <t>Low</t>
  </si>
  <si>
    <t>Medium</t>
  </si>
  <si>
    <t>High</t>
  </si>
  <si>
    <t>Annual monitoring report</t>
  </si>
  <si>
    <t>First verification preparation</t>
  </si>
  <si>
    <t>Community consultation completion</t>
  </si>
  <si>
    <t>31/12/2025</t>
  </si>
  <si>
    <t>31/07/2026</t>
  </si>
  <si>
    <t>01/06/2026</t>
  </si>
  <si>
    <t>Complete</t>
  </si>
  <si>
    <t>On Track</t>
  </si>
  <si>
    <t>15/04/2026</t>
  </si>
  <si>
    <t>28/02/2026</t>
  </si>
  <si>
    <t>Overdue</t>
  </si>
  <si>
    <t>Progress</t>
  </si>
  <si>
    <t>Baseline assessment submission</t>
  </si>
  <si>
    <t>Validation body selection</t>
  </si>
  <si>
    <t>Verification audit completion</t>
  </si>
  <si>
    <t>Escalated to project lead. Alternative verification body being assessed.</t>
  </si>
  <si>
    <t>Data collection 80% complete. Local partner capacity constraints noted.</t>
  </si>
  <si>
    <t>Weekly check-in call established with local partner.</t>
  </si>
  <si>
    <t>Shortlist of 3 bodies prepared. Decision required at next steering committee.</t>
  </si>
  <si>
    <t>No validation body contracted 3 months post-registration</t>
  </si>
  <si>
    <t>Verification body scheduling delayed by 6 weeks due to site access issues</t>
  </si>
  <si>
    <t>Completed on schedule.</t>
  </si>
  <si>
    <t>No action required.</t>
  </si>
  <si>
    <t>Document compilation behind schedule by 2 weeks.</t>
  </si>
  <si>
    <t>Dedicated document coordinator assigned.</t>
  </si>
  <si>
    <t>Continue monitoring.</t>
  </si>
  <si>
    <t>No current risks identified.</t>
  </si>
  <si>
    <t>TNC Global Carbon Markets — Donor Progress Report</t>
  </si>
  <si>
    <t>Reporting Period:</t>
  </si>
  <si>
    <t>Q1 2026 (January to March)</t>
  </si>
  <si>
    <t>Prepared by:</t>
  </si>
  <si>
    <t>Awande Duma, Portfolio Coordinator</t>
  </si>
  <si>
    <t>Date:</t>
  </si>
  <si>
    <t>PORTFOLIO OVERVIEW</t>
  </si>
  <si>
    <t>Total transaction value (USD)</t>
  </si>
  <si>
    <t>Average price per credit (USD):</t>
  </si>
  <si>
    <t>Total active projects:</t>
  </si>
  <si>
    <t>Total credits issued to date (tCO2e):</t>
  </si>
  <si>
    <t>Total credits retired (tCO2e):</t>
  </si>
  <si>
    <t>Total portfolio hectares protected:</t>
  </si>
  <si>
    <t>Projects with credits issued:</t>
  </si>
  <si>
    <t>Projects in development pipeline:</t>
  </si>
  <si>
    <t>PROGRESS NARRATIVE</t>
  </si>
  <si>
    <t>During Q1 2026, the TNC Carbon Markets portfolio maintained 8 active nature-based carbon projects across 4 regions, collectively protecting over 625,500 hectares of critical ecosystems. Three projects are actively generating carbon credits against verified GHG Protocol baselines, with a combined 340,600 tCO2e issued to date and a retirement rate of 65%. The Congo Basin IFM project (CP-004) remains the highest priority for validation body contracting, with a decision expected at the April steering committee. The Zambezi Delta verification timeline has been flagged as high risk and is under active management. No projects have been cancelled or placed on hold during this period.</t>
  </si>
  <si>
    <r>
      <rPr>
        <b/>
        <sz val="11"/>
        <color rgb="FF002060"/>
        <rFont val="Calibri"/>
        <family val="2"/>
        <scheme val="minor"/>
      </rPr>
      <t>Note:</t>
    </r>
    <r>
      <rPr>
        <sz val="11"/>
        <color theme="1"/>
        <rFont val="Calibri"/>
        <family val="2"/>
        <scheme val="minor"/>
      </rPr>
      <t xml:space="preserve"> All carbon credit figures represent tCO2e (tonnes of CO2 equivalent). Data sourced from the TNC Carbon Markets Project Registry as of the report date. Simulated dataset for portfolio demonstration purposes.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</si>
</sst>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409]#,##0.0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6"/>
      <color theme="4" tint="-0.499984740745262"/>
      <name val="Calibri"/>
      <family val="2"/>
      <scheme val="minor"/>
    </font>
    <font>
      <b/>
      <sz val="11"/>
      <color theme="4" tint="-0.499984740745262"/>
      <name val="Calibri"/>
      <family val="2"/>
      <scheme val="minor"/>
    </font>
    <font>
      <b/>
      <sz val="11"/>
      <color rgb="FF002060"/>
      <name val="Calibri"/>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right/>
      <top/>
      <bottom style="double">
        <color indexed="64"/>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2" fillId="2" borderId="0" xfId="0" applyFont="1" applyFill="1"/>
    <xf numFmtId="0" fontId="2" fillId="2" borderId="0" xfId="0" applyFont="1" applyFill="1" applyAlignment="1">
      <alignment horizontal="center"/>
    </xf>
    <xf numFmtId="14" fontId="0" fillId="0" borderId="0" xfId="0" applyNumberFormat="1"/>
    <xf numFmtId="0" fontId="4" fillId="0" borderId="0" xfId="0" applyFont="1" applyAlignment="1">
      <alignment horizontal="center"/>
    </xf>
    <xf numFmtId="9" fontId="0" fillId="0" borderId="0" xfId="1" applyFont="1"/>
    <xf numFmtId="170" fontId="0" fillId="0" borderId="0" xfId="0" applyNumberFormat="1"/>
    <xf numFmtId="0" fontId="5" fillId="0" borderId="1" xfId="0" applyFont="1" applyBorder="1" applyAlignment="1">
      <alignment horizontal="center"/>
    </xf>
    <xf numFmtId="0" fontId="5" fillId="0" borderId="1" xfId="0" applyFont="1" applyBorder="1" applyAlignment="1"/>
    <xf numFmtId="0" fontId="5" fillId="0" borderId="0" xfId="0" applyFont="1" applyBorder="1" applyAlignment="1"/>
    <xf numFmtId="0" fontId="0" fillId="0" borderId="0" xfId="0" applyAlignment="1">
      <alignment vertical="center" wrapText="1"/>
    </xf>
    <xf numFmtId="14" fontId="2" fillId="0" borderId="0" xfId="0" applyNumberFormat="1" applyFont="1"/>
  </cellXfs>
  <cellStyles count="2">
    <cellStyle name="Normal" xfId="0" builtinId="0"/>
    <cellStyle name="Percent" xfId="1" builtinId="5"/>
  </cellStyles>
  <dxfs count="12">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theme="7" tint="0.79998168889431442"/>
      </font>
      <fill>
        <patternFill>
          <bgColor rgb="FFFFC000"/>
        </patternFill>
      </fill>
    </dxf>
    <dxf>
      <font>
        <color rgb="FF9C0006"/>
      </font>
      <fill>
        <patternFill>
          <bgColor rgb="FFFFC7CE"/>
        </patternFill>
      </fill>
    </dxf>
    <dxf>
      <font>
        <color theme="4" tint="0.59996337778862885"/>
      </font>
      <fill>
        <patternFill>
          <bgColor rgb="FF0070C0"/>
        </patternFill>
      </fill>
    </dxf>
    <dxf>
      <font>
        <color theme="2" tint="-9.9948118533890809E-2"/>
      </font>
      <fill>
        <patternFill>
          <bgColor theme="2" tint="-0.749961851863155"/>
        </patternFill>
      </fill>
    </dxf>
    <dxf>
      <font>
        <color rgb="FF006100"/>
      </font>
      <fill>
        <patternFill>
          <bgColor rgb="FFC6EFCE"/>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Portfolio by Project Stage</a:t>
            </a:r>
          </a:p>
        </c:rich>
      </c:tx>
      <c:layout>
        <c:manualLayout>
          <c:xMode val="edge"/>
          <c:yMode val="edge"/>
          <c:x val="0.25522544840687017"/>
          <c:y val="5.63685348175567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0"/>
          <c:order val="0"/>
          <c:tx>
            <c:strRef>
              <c:f>'KPI Dashboard'!$V$31</c:f>
              <c:strCache>
                <c:ptCount val="1"/>
                <c:pt idx="0">
                  <c:v>Count</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Dashboard'!$U$32:$U$38</c:f>
              <c:strCache>
                <c:ptCount val="7"/>
                <c:pt idx="0">
                  <c:v>Development</c:v>
                </c:pt>
                <c:pt idx="1">
                  <c:v>Validation</c:v>
                </c:pt>
                <c:pt idx="2">
                  <c:v>Registered</c:v>
                </c:pt>
                <c:pt idx="3">
                  <c:v>Verification</c:v>
                </c:pt>
                <c:pt idx="4">
                  <c:v>Credit Issued</c:v>
                </c:pt>
                <c:pt idx="5">
                  <c:v>On Hold</c:v>
                </c:pt>
                <c:pt idx="6">
                  <c:v>Cancelled</c:v>
                </c:pt>
              </c:strCache>
            </c:strRef>
          </c:cat>
          <c:val>
            <c:numRef>
              <c:f>'KPI Dashboard'!$V$32:$V$38</c:f>
              <c:numCache>
                <c:formatCode>General</c:formatCode>
                <c:ptCount val="7"/>
                <c:pt idx="0">
                  <c:v>1</c:v>
                </c:pt>
                <c:pt idx="1">
                  <c:v>1</c:v>
                </c:pt>
                <c:pt idx="2">
                  <c:v>2</c:v>
                </c:pt>
                <c:pt idx="3">
                  <c:v>1</c:v>
                </c:pt>
                <c:pt idx="4">
                  <c:v>3</c:v>
                </c:pt>
                <c:pt idx="5">
                  <c:v>0</c:v>
                </c:pt>
                <c:pt idx="6">
                  <c:v>0</c:v>
                </c:pt>
              </c:numCache>
            </c:numRef>
          </c:val>
          <c:extLst>
            <c:ext xmlns:c16="http://schemas.microsoft.com/office/drawing/2014/chart" uri="{C3380CC4-5D6E-409C-BE32-E72D297353CC}">
              <c16:uniqueId val="{00000000-A66F-4BBF-A774-24B01E77756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sz="1600" b="1" i="0" u="none" strike="noStrike" baseline="0">
                <a:effectLst>
                  <a:outerShdw blurRad="50800" dist="38100" dir="5400000" algn="t" rotWithShape="0">
                    <a:prstClr val="black">
                      <a:alpha val="40000"/>
                    </a:prstClr>
                  </a:outerShdw>
                </a:effectLst>
              </a:rPr>
              <a:t>Credits Issued vs Retired by Project</a:t>
            </a:r>
            <a:endParaRPr lang="en-ZA"/>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0584873696519043"/>
          <c:y val="0.13279368081799811"/>
          <c:w val="0.73428238701682613"/>
          <c:h val="0.6150494854581694"/>
        </c:manualLayout>
      </c:layout>
      <c:barChart>
        <c:barDir val="bar"/>
        <c:grouping val="clustered"/>
        <c:varyColors val="0"/>
        <c:ser>
          <c:idx val="0"/>
          <c:order val="0"/>
          <c:tx>
            <c:strRef>
              <c:f>'KPI Dashboard'!$P$33</c:f>
              <c:strCache>
                <c:ptCount val="1"/>
                <c:pt idx="0">
                  <c:v>Credits Issued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Dashboard'!$O$34:$O$37</c:f>
              <c:strCache>
                <c:ptCount val="4"/>
                <c:pt idx="0">
                  <c:v>Amazon Boundary Forest</c:v>
                </c:pt>
                <c:pt idx="1">
                  <c:v>Sundarbans Mangrove</c:v>
                </c:pt>
                <c:pt idx="2">
                  <c:v>Scottish Peatland</c:v>
                </c:pt>
                <c:pt idx="3">
                  <c:v>Zambezi Delta</c:v>
                </c:pt>
              </c:strCache>
            </c:strRef>
          </c:cat>
          <c:val>
            <c:numRef>
              <c:f>'KPI Dashboard'!$P$34:$P$37</c:f>
              <c:numCache>
                <c:formatCode>[$$-409]#\ ##0.00</c:formatCode>
                <c:ptCount val="4"/>
                <c:pt idx="0">
                  <c:v>144000</c:v>
                </c:pt>
                <c:pt idx="1">
                  <c:v>110000</c:v>
                </c:pt>
                <c:pt idx="2" formatCode="General">
                  <c:v>49600</c:v>
                </c:pt>
                <c:pt idx="3" formatCode="General">
                  <c:v>37000</c:v>
                </c:pt>
              </c:numCache>
            </c:numRef>
          </c:val>
          <c:extLst>
            <c:ext xmlns:c16="http://schemas.microsoft.com/office/drawing/2014/chart" uri="{C3380CC4-5D6E-409C-BE32-E72D297353CC}">
              <c16:uniqueId val="{00000000-6C54-4E5D-8CA3-4BD6CDEFCB58}"/>
            </c:ext>
          </c:extLst>
        </c:ser>
        <c:ser>
          <c:idx val="1"/>
          <c:order val="1"/>
          <c:tx>
            <c:strRef>
              <c:f>'KPI Dashboard'!$Q$33</c:f>
              <c:strCache>
                <c:ptCount val="1"/>
                <c:pt idx="0">
                  <c:v>Credits Retired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Dashboard'!$O$34:$O$37</c:f>
              <c:strCache>
                <c:ptCount val="4"/>
                <c:pt idx="0">
                  <c:v>Amazon Boundary Forest</c:v>
                </c:pt>
                <c:pt idx="1">
                  <c:v>Sundarbans Mangrove</c:v>
                </c:pt>
                <c:pt idx="2">
                  <c:v>Scottish Peatland</c:v>
                </c:pt>
                <c:pt idx="3">
                  <c:v>Zambezi Delta</c:v>
                </c:pt>
              </c:strCache>
            </c:strRef>
          </c:cat>
          <c:val>
            <c:numRef>
              <c:f>'KPI Dashboard'!$Q$34:$Q$37</c:f>
              <c:numCache>
                <c:formatCode>General</c:formatCode>
                <c:ptCount val="4"/>
                <c:pt idx="0">
                  <c:v>86400</c:v>
                </c:pt>
                <c:pt idx="1">
                  <c:v>77000</c:v>
                </c:pt>
                <c:pt idx="2">
                  <c:v>43400</c:v>
                </c:pt>
                <c:pt idx="3">
                  <c:v>18500</c:v>
                </c:pt>
              </c:numCache>
            </c:numRef>
          </c:val>
          <c:extLst>
            <c:ext xmlns:c16="http://schemas.microsoft.com/office/drawing/2014/chart" uri="{C3380CC4-5D6E-409C-BE32-E72D297353CC}">
              <c16:uniqueId val="{00000001-6C54-4E5D-8CA3-4BD6CDEFCB58}"/>
            </c:ext>
          </c:extLst>
        </c:ser>
        <c:dLbls>
          <c:dLblPos val="outEnd"/>
          <c:showLegendKey val="0"/>
          <c:showVal val="1"/>
          <c:showCatName val="0"/>
          <c:showSerName val="0"/>
          <c:showPercent val="0"/>
          <c:showBubbleSize val="0"/>
        </c:dLbls>
        <c:gapWidth val="115"/>
        <c:overlap val="-20"/>
        <c:axId val="364802655"/>
        <c:axId val="364804319"/>
      </c:barChart>
      <c:catAx>
        <c:axId val="3648026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804319"/>
        <c:crosses val="autoZero"/>
        <c:auto val="1"/>
        <c:lblAlgn val="ctr"/>
        <c:lblOffset val="100"/>
        <c:noMultiLvlLbl val="0"/>
      </c:catAx>
      <c:valAx>
        <c:axId val="364804319"/>
        <c:scaling>
          <c:orientation val="minMax"/>
        </c:scaling>
        <c:delete val="0"/>
        <c:axPos val="b"/>
        <c:numFmt formatCode="[$$-4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802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Portfolio by Region</a:t>
            </a:r>
          </a:p>
        </c:rich>
      </c:tx>
      <c:layout>
        <c:manualLayout>
          <c:xMode val="edge"/>
          <c:yMode val="edge"/>
          <c:x val="0.26136789151356082"/>
          <c:y val="5.09259259259259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'KPI Dashboard'!$P$25</c:f>
              <c:strCache>
                <c:ptCount val="1"/>
                <c:pt idx="0">
                  <c:v>Count</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 Dashboard'!$O$26:$O$29</c:f>
              <c:strCache>
                <c:ptCount val="4"/>
                <c:pt idx="0">
                  <c:v>Africa</c:v>
                </c:pt>
                <c:pt idx="1">
                  <c:v>Latin America</c:v>
                </c:pt>
                <c:pt idx="2">
                  <c:v>Asia Pacific</c:v>
                </c:pt>
                <c:pt idx="3">
                  <c:v>Europe</c:v>
                </c:pt>
              </c:strCache>
            </c:strRef>
          </c:cat>
          <c:val>
            <c:numRef>
              <c:f>'KPI Dashboard'!$P$26:$P$29</c:f>
              <c:numCache>
                <c:formatCode>General</c:formatCode>
                <c:ptCount val="4"/>
                <c:pt idx="0">
                  <c:v>3</c:v>
                </c:pt>
                <c:pt idx="1">
                  <c:v>2</c:v>
                </c:pt>
                <c:pt idx="2">
                  <c:v>2</c:v>
                </c:pt>
                <c:pt idx="3">
                  <c:v>1</c:v>
                </c:pt>
              </c:numCache>
            </c:numRef>
          </c:val>
          <c:extLst>
            <c:ext xmlns:c16="http://schemas.microsoft.com/office/drawing/2014/chart" uri="{C3380CC4-5D6E-409C-BE32-E72D297353CC}">
              <c16:uniqueId val="{00000000-8E1A-4F34-A471-BBB39309E52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7482</xdr:rowOff>
    </xdr:from>
    <xdr:to>
      <xdr:col>3</xdr:col>
      <xdr:colOff>1300842</xdr:colOff>
      <xdr:row>20</xdr:row>
      <xdr:rowOff>78921</xdr:rowOff>
    </xdr:to>
    <xdr:graphicFrame macro="">
      <xdr:nvGraphicFramePr>
        <xdr:cNvPr id="2" name="Chart 1">
          <a:extLst>
            <a:ext uri="{FF2B5EF4-FFF2-40B4-BE49-F238E27FC236}">
              <a16:creationId xmlns:a16="http://schemas.microsoft.com/office/drawing/2014/main" id="{D047D418-8BC2-4FA9-A588-798D6FB81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113618</xdr:rowOff>
    </xdr:from>
    <xdr:to>
      <xdr:col>13</xdr:col>
      <xdr:colOff>27215</xdr:colOff>
      <xdr:row>41</xdr:row>
      <xdr:rowOff>81643</xdr:rowOff>
    </xdr:to>
    <xdr:graphicFrame macro="">
      <xdr:nvGraphicFramePr>
        <xdr:cNvPr id="3" name="Chart 2">
          <a:extLst>
            <a:ext uri="{FF2B5EF4-FFF2-40B4-BE49-F238E27FC236}">
              <a16:creationId xmlns:a16="http://schemas.microsoft.com/office/drawing/2014/main" id="{0678DC18-2AA3-4F03-8BDE-3EEF95C1E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100692</xdr:colOff>
      <xdr:row>5</xdr:row>
      <xdr:rowOff>23812</xdr:rowOff>
    </xdr:from>
    <xdr:to>
      <xdr:col>13</xdr:col>
      <xdr:colOff>83004</xdr:colOff>
      <xdr:row>20</xdr:row>
      <xdr:rowOff>163286</xdr:rowOff>
    </xdr:to>
    <xdr:graphicFrame macro="">
      <xdr:nvGraphicFramePr>
        <xdr:cNvPr id="4" name="Chart 3">
          <a:extLst>
            <a:ext uri="{FF2B5EF4-FFF2-40B4-BE49-F238E27FC236}">
              <a16:creationId xmlns:a16="http://schemas.microsoft.com/office/drawing/2014/main" id="{38285B5D-AAB4-40F4-898F-2D42A53B6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B36079-C260-41A3-9156-C0AADAE81574}" name="Table4" displayName="Table4" ref="A1:S9" totalsRowShown="0" headerRowDxfId="10">
  <autoFilter ref="A1:S9" xr:uid="{C0B36079-C260-41A3-9156-C0AADAE81574}"/>
  <tableColumns count="19">
    <tableColumn id="1" xr3:uid="{E3C5D1B5-3751-424F-8FD1-5CE8D690B13F}" name="Project ID"/>
    <tableColumn id="2" xr3:uid="{6E9EDF57-5F08-4AC7-8F41-1C885F95CD9C}" name="Project Name"/>
    <tableColumn id="3" xr3:uid="{C567121B-B350-41D7-A900-69E702B59ECD}" name="Country"/>
    <tableColumn id="4" xr3:uid="{3B664801-268B-4E42-A0BF-3EF0804C6E0D}" name="Region"/>
    <tableColumn id="5" xr3:uid="{C5087F1D-4540-4FB2-8603-97398D33783B}" name="Project Type"/>
    <tableColumn id="6" xr3:uid="{A08A1A22-BC70-4D08-99FE-A9AA88A7034B}" name="Ecosystem"/>
    <tableColumn id="7" xr3:uid="{ADBD388D-ED9B-4A79-8C6D-EB85002A78CF}" name="Standard"/>
    <tableColumn id="8" xr3:uid="{37522EF4-7599-4157-A2D4-1E0BD848A218}" name="Project Stage"/>
    <tableColumn id="9" xr3:uid="{84070D09-057C-4F4D-ABCB-4DD3B870EF48}" name="Start Date"/>
    <tableColumn id="10" xr3:uid="{330343BF-CE14-4A83-A7F3-15F33DBA53FC}" name="End Date"/>
    <tableColumn id="11" xr3:uid="{8A09B05C-5F29-4FE8-95E0-9DAEE7BBB854}" name="Total Hectares"/>
    <tableColumn id="12" xr3:uid="{5CF9E1D5-2913-40FD-AD82-5FE1C35B3849}" name="Estimated Annual Credits (tCO2e)"/>
    <tableColumn id="13" xr3:uid="{016D8197-CC24-41C3-BD21-AEF30D8097B3}" name="Total Lifetime Credits (tCO2e)"/>
    <tableColumn id="14" xr3:uid="{761DB03B-3107-4CB1-B338-C28C2C552924}" name="Credits Issued to Date"/>
    <tableColumn id="15" xr3:uid="{150F3A1A-A82C-42B3-9338-A77C4D93BCC7}" name="Credits Retired"/>
    <tableColumn id="16" xr3:uid="{93B7B934-9693-484A-8517-589838333C79}" name="Credits Available">
      <calculatedColumnFormula>N2-O2</calculatedColumnFormula>
    </tableColumn>
    <tableColumn id="17" xr3:uid="{78EA4CA9-7543-4714-8761-992AB508022F}" name="Project Lead"/>
    <tableColumn id="18" xr3:uid="{37DF5570-4254-45E4-867D-90674420D45C}" name="Last Updated"/>
    <tableColumn id="19" xr3:uid="{94EF5682-9AC8-489E-AAA1-F653714C1BAE}"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915BB6-5693-41AB-B400-4C35678C2A51}" name="Table3" displayName="Table3" ref="A1:N11" totalsRowShown="0" headerRowDxfId="11">
  <autoFilter ref="A1:N11" xr:uid="{0D915BB6-5693-41AB-B400-4C35678C2A51}"/>
  <tableColumns count="14">
    <tableColumn id="1" xr3:uid="{38986C8A-D706-4FA8-AFB3-AB6007E7E629}" name="Transaction ID"/>
    <tableColumn id="2" xr3:uid="{E58A9F95-9A97-4915-A7C6-91485C60D593}" name="Project ID"/>
    <tableColumn id="3" xr3:uid="{17B06A1E-94D5-4227-9282-3E1EF8A250F3}" name="Project Name"/>
    <tableColumn id="4" xr3:uid="{E2DDB5B7-D76E-492E-8CA2-BDADB01CCA86}" name="Transaction Type"/>
    <tableColumn id="5" xr3:uid="{A75FA0C0-E68C-4E0B-969A-34707A26648D}" name="Transaction Date"/>
    <tableColumn id="6" xr3:uid="{94177B14-698B-4120-BB79-E09E1B4447C8}" name="Volume (tCO2e)"/>
    <tableColumn id="7" xr3:uid="{3557BA13-FC1C-4B20-8795-0E3E60DAE1B5}" name="Vintage Year"/>
    <tableColumn id="8" xr3:uid="{84C56301-4CB8-4E3A-8AAF-6FE383898CA2}" name="Buyer or Recipient"/>
    <tableColumn id="9" xr3:uid="{09581A8F-A40B-4FBD-B5B9-9F767FA03C24}" name="Transaction Value (USD)"/>
    <tableColumn id="10" xr3:uid="{59EB8019-0F66-4792-AC6A-A275D4B1E7F3}" name="Price per Credit">
      <calculatedColumnFormula>IF(F2&gt;0,I2/F2,0)</calculatedColumnFormula>
    </tableColumn>
    <tableColumn id="11" xr3:uid="{1A4D08ED-8C84-4D91-AEBE-685D68064571}" name="Verifiction Body"/>
    <tableColumn id="12" xr3:uid="{6CAA2813-A98A-464D-91FE-7384C26C01B9}" name="Serial Number Range"/>
    <tableColumn id="13" xr3:uid="{F8CAD8EB-CB5C-4313-A7D3-F977237B2FBA}" name="Status"/>
    <tableColumn id="14" xr3:uid="{3255415C-D364-4702-8756-D446644F12C4}"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EDB61C-56CB-4CFE-B54C-C57F2DC1FD2E}" name="Table1" displayName="Table1" ref="O6:P21" totalsRowShown="0">
  <autoFilter ref="O6:P21" xr:uid="{E0EDB61C-56CB-4CFE-B54C-C57F2DC1FD2E}"/>
  <tableColumns count="2">
    <tableColumn id="1" xr3:uid="{12278488-3563-492B-A1A5-94FDADB25B10}" name="KPI"/>
    <tableColumn id="2" xr3:uid="{F06A9CEF-E9A3-45CB-8C26-B9B4F0ECD793}" name="Value"/>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F5674D-6B4D-49C7-9424-CEC1C389C05F}" name="Table2" displayName="Table2" ref="U31:V38" totalsRowShown="0">
  <autoFilter ref="U31:V38" xr:uid="{82F5674D-6B4D-49C7-9424-CEC1C389C05F}"/>
  <tableColumns count="2">
    <tableColumn id="1" xr3:uid="{9BB536BD-336A-4018-A665-09D0163A2703}" name="Stage"/>
    <tableColumn id="2" xr3:uid="{39E08605-E45F-4811-BB23-52444DC856D6}" name="Cou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62CC10-2DEC-4D8B-B71E-F2F7332CC6AC}" name="Table5" displayName="Table5" ref="O33:Q37" totalsRowShown="0">
  <autoFilter ref="O33:Q37" xr:uid="{2C62CC10-2DEC-4D8B-B71E-F2F7332CC6AC}"/>
  <tableColumns count="3">
    <tableColumn id="1" xr3:uid="{2F338A00-DAB9-4CA4-8504-74F289CDB8FC}" name="Project Name"/>
    <tableColumn id="2" xr3:uid="{06CA23D5-EE7D-4CC4-88AC-F2E381A57F29}" name="Credits Issued"/>
    <tableColumn id="3" xr3:uid="{C88ACF56-D96F-48E7-B0DD-3ED251C6B601}" name="Credits Retired"/>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E224CED-BE86-4323-9962-E0A40143C013}" name="Table6" displayName="Table6" ref="O25:P29" totalsRowShown="0">
  <autoFilter ref="O25:P29" xr:uid="{7E224CED-BE86-4323-9962-E0A40143C013}"/>
  <tableColumns count="2">
    <tableColumn id="1" xr3:uid="{06C89539-CD50-490F-BF38-B6D6BFDD6DD9}" name="Region"/>
    <tableColumn id="2" xr3:uid="{D8A29340-A1A5-4B43-A9DA-B11A9D4C400E}" name="Count"/>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04FA7-E1E7-42D4-8CFF-221B43EFEA60}">
  <dimension ref="A1:S9"/>
  <sheetViews>
    <sheetView tabSelected="1" workbookViewId="0">
      <selection activeCell="D8" sqref="D8"/>
    </sheetView>
  </sheetViews>
  <sheetFormatPr defaultRowHeight="15" x14ac:dyDescent="0.25"/>
  <cols>
    <col min="1" max="1" width="13.140625" bestFit="1" customWidth="1"/>
    <col min="2" max="2" width="27.5703125" bestFit="1" customWidth="1"/>
    <col min="3" max="3" width="15.42578125" bestFit="1" customWidth="1"/>
    <col min="4" max="4" width="13.140625" bestFit="1" customWidth="1"/>
    <col min="5" max="5" width="28.28515625" bestFit="1" customWidth="1"/>
    <col min="6" max="6" width="14.140625" bestFit="1" customWidth="1"/>
    <col min="7" max="7" width="24.140625" bestFit="1" customWidth="1"/>
    <col min="8" max="8" width="14.7109375" customWidth="1"/>
    <col min="9" max="9" width="18.140625" customWidth="1"/>
    <col min="10" max="10" width="21.5703125" customWidth="1"/>
    <col min="11" max="11" width="15.7109375" customWidth="1"/>
    <col min="12" max="12" width="32.7109375" customWidth="1"/>
    <col min="13" max="13" width="29.42578125" customWidth="1"/>
    <col min="14" max="14" width="22.42578125" customWidth="1"/>
    <col min="15" max="15" width="16.42578125" customWidth="1"/>
    <col min="16" max="16" width="18.140625" customWidth="1"/>
    <col min="17" max="17" width="14.28515625" bestFit="1" customWidth="1"/>
    <col min="18" max="18" width="14.7109375" customWidth="1"/>
  </cols>
  <sheetData>
    <row r="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25">
      <c r="A2" t="s">
        <v>49</v>
      </c>
      <c r="B2" t="s">
        <v>59</v>
      </c>
      <c r="C2" t="s">
        <v>60</v>
      </c>
      <c r="D2" t="s">
        <v>61</v>
      </c>
      <c r="E2" t="s">
        <v>19</v>
      </c>
      <c r="F2" t="s">
        <v>26</v>
      </c>
      <c r="G2" t="s">
        <v>34</v>
      </c>
      <c r="H2" t="s">
        <v>45</v>
      </c>
      <c r="I2" s="3" t="s">
        <v>62</v>
      </c>
      <c r="J2" s="3" t="s">
        <v>63</v>
      </c>
      <c r="K2">
        <v>125000</v>
      </c>
      <c r="L2">
        <v>48000</v>
      </c>
      <c r="M2">
        <v>1440000</v>
      </c>
      <c r="N2">
        <v>144000</v>
      </c>
      <c r="O2">
        <v>86400</v>
      </c>
      <c r="P2">
        <f>N2-O2</f>
        <v>57600</v>
      </c>
      <c r="Q2" t="s">
        <v>64</v>
      </c>
    </row>
    <row r="3" spans="1:19" x14ac:dyDescent="0.25">
      <c r="A3" t="s">
        <v>50</v>
      </c>
      <c r="B3" t="s">
        <v>65</v>
      </c>
      <c r="C3" t="s">
        <v>66</v>
      </c>
      <c r="D3" t="s">
        <v>67</v>
      </c>
      <c r="E3" t="s">
        <v>22</v>
      </c>
      <c r="F3" t="s">
        <v>29</v>
      </c>
      <c r="G3" t="s">
        <v>35</v>
      </c>
      <c r="H3" t="s">
        <v>44</v>
      </c>
      <c r="I3" t="s">
        <v>68</v>
      </c>
      <c r="J3" t="s">
        <v>69</v>
      </c>
      <c r="K3">
        <v>42000</v>
      </c>
      <c r="L3">
        <v>18500</v>
      </c>
      <c r="M3">
        <v>555000</v>
      </c>
      <c r="N3">
        <v>37000</v>
      </c>
      <c r="O3">
        <v>18500</v>
      </c>
      <c r="P3">
        <f t="shared" ref="P3:P9" si="0">N3-O3</f>
        <v>18500</v>
      </c>
      <c r="Q3" t="s">
        <v>70</v>
      </c>
    </row>
    <row r="4" spans="1:19" x14ac:dyDescent="0.25">
      <c r="A4" t="s">
        <v>51</v>
      </c>
      <c r="B4" t="s">
        <v>71</v>
      </c>
      <c r="C4" t="s">
        <v>75</v>
      </c>
      <c r="D4" t="s">
        <v>79</v>
      </c>
      <c r="E4" t="s">
        <v>23</v>
      </c>
      <c r="F4" t="s">
        <v>30</v>
      </c>
      <c r="G4" t="s">
        <v>34</v>
      </c>
      <c r="H4" t="s">
        <v>45</v>
      </c>
      <c r="I4" t="s">
        <v>81</v>
      </c>
      <c r="J4" t="s">
        <v>88</v>
      </c>
      <c r="K4">
        <v>31000</v>
      </c>
      <c r="L4">
        <v>22000</v>
      </c>
      <c r="M4">
        <v>660000</v>
      </c>
      <c r="N4">
        <v>110000</v>
      </c>
      <c r="O4">
        <v>77000</v>
      </c>
      <c r="P4">
        <f t="shared" si="0"/>
        <v>33000</v>
      </c>
      <c r="Q4" t="s">
        <v>89</v>
      </c>
    </row>
    <row r="5" spans="1:19" x14ac:dyDescent="0.25">
      <c r="A5" t="s">
        <v>52</v>
      </c>
      <c r="B5" t="s">
        <v>72</v>
      </c>
      <c r="C5" t="s">
        <v>76</v>
      </c>
      <c r="D5" t="s">
        <v>67</v>
      </c>
      <c r="E5" t="s">
        <v>21</v>
      </c>
      <c r="F5" t="s">
        <v>26</v>
      </c>
      <c r="G5" t="s">
        <v>36</v>
      </c>
      <c r="H5" t="s">
        <v>42</v>
      </c>
      <c r="I5" t="s">
        <v>82</v>
      </c>
      <c r="J5" t="s">
        <v>87</v>
      </c>
      <c r="K5">
        <v>280000</v>
      </c>
      <c r="L5">
        <v>95000</v>
      </c>
      <c r="M5">
        <v>2850000</v>
      </c>
      <c r="N5">
        <v>0</v>
      </c>
      <c r="O5">
        <v>0</v>
      </c>
      <c r="P5">
        <f t="shared" si="0"/>
        <v>0</v>
      </c>
      <c r="Q5" t="s">
        <v>90</v>
      </c>
    </row>
    <row r="6" spans="1:19" x14ac:dyDescent="0.25">
      <c r="A6" t="s">
        <v>53</v>
      </c>
      <c r="B6" t="s">
        <v>73</v>
      </c>
      <c r="C6" t="s">
        <v>77</v>
      </c>
      <c r="D6" t="s">
        <v>61</v>
      </c>
      <c r="E6" t="s">
        <v>25</v>
      </c>
      <c r="F6" t="s">
        <v>31</v>
      </c>
      <c r="G6" t="s">
        <v>37</v>
      </c>
      <c r="H6" t="s">
        <v>43</v>
      </c>
      <c r="I6" t="s">
        <v>83</v>
      </c>
      <c r="J6" t="s">
        <v>86</v>
      </c>
      <c r="K6">
        <v>68000</v>
      </c>
      <c r="L6">
        <v>12000</v>
      </c>
      <c r="M6">
        <v>360000</v>
      </c>
      <c r="N6">
        <v>0</v>
      </c>
      <c r="O6">
        <v>0</v>
      </c>
      <c r="P6">
        <f t="shared" si="0"/>
        <v>0</v>
      </c>
      <c r="Q6" t="s">
        <v>91</v>
      </c>
    </row>
    <row r="7" spans="1:19" x14ac:dyDescent="0.25">
      <c r="A7" t="s">
        <v>54</v>
      </c>
      <c r="B7" t="s">
        <v>74</v>
      </c>
      <c r="C7" t="s">
        <v>78</v>
      </c>
      <c r="D7" t="s">
        <v>80</v>
      </c>
      <c r="E7" t="s">
        <v>21</v>
      </c>
      <c r="F7" t="s">
        <v>32</v>
      </c>
      <c r="G7" t="s">
        <v>35</v>
      </c>
      <c r="H7" t="s">
        <v>45</v>
      </c>
      <c r="I7" t="s">
        <v>84</v>
      </c>
      <c r="J7" t="s">
        <v>85</v>
      </c>
      <c r="K7">
        <v>8500</v>
      </c>
      <c r="L7">
        <v>6200</v>
      </c>
      <c r="M7">
        <v>186000</v>
      </c>
      <c r="N7">
        <v>49600</v>
      </c>
      <c r="O7">
        <v>43400</v>
      </c>
      <c r="P7">
        <f t="shared" si="0"/>
        <v>6200</v>
      </c>
      <c r="Q7" t="s">
        <v>92</v>
      </c>
    </row>
    <row r="8" spans="1:19" x14ac:dyDescent="0.25">
      <c r="A8" t="s">
        <v>55</v>
      </c>
      <c r="B8" t="s">
        <v>93</v>
      </c>
      <c r="C8" t="s">
        <v>95</v>
      </c>
      <c r="D8" t="s">
        <v>79</v>
      </c>
      <c r="E8" t="s">
        <v>23</v>
      </c>
      <c r="F8" t="s">
        <v>30</v>
      </c>
      <c r="G8" t="s">
        <v>38</v>
      </c>
      <c r="H8" t="s">
        <v>41</v>
      </c>
      <c r="I8" t="s">
        <v>97</v>
      </c>
      <c r="J8" t="s">
        <v>100</v>
      </c>
      <c r="K8">
        <v>19000</v>
      </c>
      <c r="L8">
        <v>14500</v>
      </c>
      <c r="M8">
        <v>43500</v>
      </c>
      <c r="N8">
        <v>0</v>
      </c>
      <c r="O8">
        <v>0</v>
      </c>
      <c r="P8">
        <f t="shared" si="0"/>
        <v>0</v>
      </c>
      <c r="Q8" t="s">
        <v>101</v>
      </c>
    </row>
    <row r="9" spans="1:19" x14ac:dyDescent="0.25">
      <c r="A9" t="s">
        <v>56</v>
      </c>
      <c r="B9" t="s">
        <v>94</v>
      </c>
      <c r="C9" t="s">
        <v>96</v>
      </c>
      <c r="D9" t="s">
        <v>67</v>
      </c>
      <c r="E9" t="s">
        <v>24</v>
      </c>
      <c r="F9" t="s">
        <v>26</v>
      </c>
      <c r="G9" t="s">
        <v>34</v>
      </c>
      <c r="H9" t="s">
        <v>43</v>
      </c>
      <c r="I9" t="s">
        <v>98</v>
      </c>
      <c r="J9" t="s">
        <v>99</v>
      </c>
      <c r="K9">
        <v>52000</v>
      </c>
      <c r="L9">
        <v>28000</v>
      </c>
      <c r="M9">
        <v>840000</v>
      </c>
      <c r="N9">
        <v>0</v>
      </c>
      <c r="O9">
        <v>0</v>
      </c>
      <c r="P9">
        <f t="shared" si="0"/>
        <v>0</v>
      </c>
      <c r="Q9" t="s">
        <v>102</v>
      </c>
    </row>
  </sheetData>
  <phoneticPr fontId="3" type="noConversion"/>
  <conditionalFormatting sqref="I2:J2 I5:J7 I8 J8:J9 H1:H1048576">
    <cfRule type="cellIs" dxfId="9" priority="7" operator="equal">
      <formula>"Credits Issued"</formula>
    </cfRule>
  </conditionalFormatting>
  <conditionalFormatting sqref="I2:J2 I5:J7 I8 J8:J9">
    <cfRule type="cellIs" dxfId="8" priority="6" operator="equal">
      <formula>"Credits Issued"</formula>
    </cfRule>
  </conditionalFormatting>
  <conditionalFormatting sqref="H2:J2">
    <cfRule type="cellIs" dxfId="7" priority="1" operator="equal">
      <formula>"Development"</formula>
    </cfRule>
    <cfRule type="cellIs" dxfId="6" priority="2" operator="equal">
      <formula>"Registered"</formula>
    </cfRule>
    <cfRule type="cellIs" dxfId="5" priority="3" operator="equal">
      <formula>"Cancelled"</formula>
    </cfRule>
    <cfRule type="cellIs" dxfId="4" priority="4" operator="equal">
      <formula>"On Hold"</formula>
    </cfRule>
    <cfRule type="cellIs" dxfId="3" priority="5" operator="equal">
      <formula>"Validation"</formula>
    </cfRule>
  </conditionalFormatting>
  <pageMargins left="0.7" right="0.7" top="0.75" bottom="0.75" header="0.3" footer="0.3"/>
  <pageSetup paperSize="9" orientation="portrait" horizontalDpi="4294967293" verticalDpi="0"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DC8E9352-2573-4C62-BF7F-2EAD344C08C7}">
          <x14:formula1>
            <xm:f>data_validation!$A$2:$A$8</xm:f>
          </x14:formula1>
          <xm:sqref>E2:E1048576</xm:sqref>
        </x14:dataValidation>
        <x14:dataValidation type="list" allowBlank="1" showInputMessage="1" showErrorMessage="1" xr:uid="{12D8D431-F7A6-4E37-A8E6-3F6AAAD096A1}">
          <x14:formula1>
            <xm:f>data_validation!$C$2:$C$9</xm:f>
          </x14:formula1>
          <xm:sqref>F2:F1048576</xm:sqref>
        </x14:dataValidation>
        <x14:dataValidation type="list" allowBlank="1" showInputMessage="1" showErrorMessage="1" xr:uid="{3CD2DFEE-3DBD-42A3-A406-024F6F1FCDCA}">
          <x14:formula1>
            <xm:f>data_validation!$E$2:$E$7</xm:f>
          </x14:formula1>
          <xm:sqref>G2:G1048576</xm:sqref>
        </x14:dataValidation>
        <x14:dataValidation type="list" allowBlank="1" showInputMessage="1" showErrorMessage="1" xr:uid="{9FBF037D-6C94-4101-95F2-A15F70077F12}">
          <x14:formula1>
            <xm:f>data_validation!$G$2:$G$10</xm:f>
          </x14:formula1>
          <xm:sqref>H2:H1048576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73D68-2E61-41DB-ABD6-4B07C1029C8D}">
  <dimension ref="A1:N11"/>
  <sheetViews>
    <sheetView workbookViewId="0">
      <selection activeCell="E6" sqref="E6"/>
    </sheetView>
  </sheetViews>
  <sheetFormatPr defaultRowHeight="15" x14ac:dyDescent="0.25"/>
  <cols>
    <col min="1" max="1" width="15.5703125" customWidth="1"/>
    <col min="2" max="2" width="11.7109375" customWidth="1"/>
    <col min="3" max="3" width="27.5703125" bestFit="1" customWidth="1"/>
    <col min="4" max="4" width="18" customWidth="1"/>
    <col min="5" max="5" width="17.85546875" customWidth="1"/>
    <col min="6" max="6" width="17.42578125" customWidth="1"/>
    <col min="7" max="7" width="14.42578125" customWidth="1"/>
    <col min="8" max="8" width="20.7109375" bestFit="1" customWidth="1"/>
    <col min="9" max="9" width="24.42578125" customWidth="1"/>
    <col min="10" max="10" width="16.85546875" customWidth="1"/>
    <col min="11" max="11" width="17.42578125" customWidth="1"/>
    <col min="12" max="12" width="21.7109375" customWidth="1"/>
    <col min="13" max="13" width="10.42578125" bestFit="1" customWidth="1"/>
  </cols>
  <sheetData>
    <row r="1" spans="1:14" x14ac:dyDescent="0.25">
      <c r="A1" s="2" t="s">
        <v>103</v>
      </c>
      <c r="B1" s="2" t="s">
        <v>0</v>
      </c>
      <c r="C1" s="2" t="s">
        <v>1</v>
      </c>
      <c r="D1" s="2" t="s">
        <v>104</v>
      </c>
      <c r="E1" s="2" t="s">
        <v>105</v>
      </c>
      <c r="F1" s="2" t="s">
        <v>106</v>
      </c>
      <c r="G1" s="2" t="s">
        <v>107</v>
      </c>
      <c r="H1" s="2" t="s">
        <v>108</v>
      </c>
      <c r="I1" s="2" t="s">
        <v>109</v>
      </c>
      <c r="J1" s="2" t="s">
        <v>110</v>
      </c>
      <c r="K1" s="2" t="s">
        <v>121</v>
      </c>
      <c r="L1" s="2" t="s">
        <v>111</v>
      </c>
      <c r="M1" s="2" t="s">
        <v>112</v>
      </c>
      <c r="N1" s="2" t="s">
        <v>18</v>
      </c>
    </row>
    <row r="2" spans="1:14" x14ac:dyDescent="0.25">
      <c r="A2" t="s">
        <v>122</v>
      </c>
      <c r="B2" t="s">
        <v>49</v>
      </c>
      <c r="C2" t="s">
        <v>59</v>
      </c>
      <c r="D2" t="s">
        <v>113</v>
      </c>
      <c r="E2" t="s">
        <v>132</v>
      </c>
      <c r="F2">
        <v>48000</v>
      </c>
      <c r="G2">
        <v>2020</v>
      </c>
      <c r="H2" t="s">
        <v>137</v>
      </c>
      <c r="I2">
        <v>960000</v>
      </c>
      <c r="J2">
        <f>IF(F2&gt;0,I2/F2,0)</f>
        <v>20</v>
      </c>
      <c r="K2" t="s">
        <v>140</v>
      </c>
      <c r="M2" t="s">
        <v>118</v>
      </c>
    </row>
    <row r="3" spans="1:14" x14ac:dyDescent="0.25">
      <c r="A3" t="s">
        <v>123</v>
      </c>
      <c r="B3" t="s">
        <v>50</v>
      </c>
      <c r="C3" t="s">
        <v>59</v>
      </c>
      <c r="D3" t="s">
        <v>114</v>
      </c>
      <c r="E3" t="s">
        <v>133</v>
      </c>
      <c r="F3">
        <v>28800</v>
      </c>
      <c r="G3">
        <v>2020</v>
      </c>
      <c r="H3" t="s">
        <v>138</v>
      </c>
      <c r="I3">
        <v>633600</v>
      </c>
      <c r="J3">
        <f t="shared" ref="J3:J66" si="0">IF(F3&gt;0,I3/F3,0)</f>
        <v>22</v>
      </c>
      <c r="K3" t="s">
        <v>140</v>
      </c>
      <c r="M3" t="s">
        <v>118</v>
      </c>
    </row>
    <row r="4" spans="1:14" x14ac:dyDescent="0.25">
      <c r="A4" t="s">
        <v>124</v>
      </c>
      <c r="B4" t="s">
        <v>51</v>
      </c>
      <c r="C4" t="s">
        <v>71</v>
      </c>
      <c r="D4" t="s">
        <v>113</v>
      </c>
      <c r="E4" t="s">
        <v>134</v>
      </c>
      <c r="F4">
        <v>22000</v>
      </c>
      <c r="G4">
        <v>2019</v>
      </c>
      <c r="H4" t="s">
        <v>137</v>
      </c>
      <c r="I4">
        <v>396000</v>
      </c>
      <c r="J4">
        <f t="shared" si="0"/>
        <v>18</v>
      </c>
      <c r="K4" t="s">
        <v>141</v>
      </c>
      <c r="M4" t="s">
        <v>118</v>
      </c>
    </row>
    <row r="5" spans="1:14" x14ac:dyDescent="0.25">
      <c r="A5" t="s">
        <v>125</v>
      </c>
      <c r="B5" t="s">
        <v>52</v>
      </c>
      <c r="C5" t="s">
        <v>71</v>
      </c>
      <c r="D5" t="s">
        <v>114</v>
      </c>
      <c r="E5" t="s">
        <v>135</v>
      </c>
      <c r="F5">
        <v>15400</v>
      </c>
      <c r="G5">
        <v>2019</v>
      </c>
      <c r="H5" t="s">
        <v>139</v>
      </c>
      <c r="I5">
        <v>307692</v>
      </c>
      <c r="J5">
        <f t="shared" si="0"/>
        <v>19.98</v>
      </c>
      <c r="K5" t="s">
        <v>141</v>
      </c>
      <c r="M5" t="s">
        <v>118</v>
      </c>
    </row>
    <row r="6" spans="1:14" x14ac:dyDescent="0.25">
      <c r="A6" t="s">
        <v>126</v>
      </c>
      <c r="B6" t="s">
        <v>53</v>
      </c>
      <c r="C6" t="s">
        <v>74</v>
      </c>
      <c r="D6" t="s">
        <v>113</v>
      </c>
      <c r="E6" t="s">
        <v>136</v>
      </c>
      <c r="F6">
        <v>6200</v>
      </c>
      <c r="G6">
        <v>2018</v>
      </c>
      <c r="H6" t="s">
        <v>137</v>
      </c>
      <c r="I6">
        <v>186000</v>
      </c>
      <c r="J6">
        <f t="shared" si="0"/>
        <v>30</v>
      </c>
      <c r="K6" t="s">
        <v>142</v>
      </c>
      <c r="M6" t="s">
        <v>118</v>
      </c>
    </row>
    <row r="7" spans="1:14" x14ac:dyDescent="0.25">
      <c r="A7" t="s">
        <v>127</v>
      </c>
      <c r="B7" t="s">
        <v>54</v>
      </c>
      <c r="C7" t="s">
        <v>74</v>
      </c>
      <c r="D7" t="s">
        <v>114</v>
      </c>
      <c r="E7" t="s">
        <v>144</v>
      </c>
      <c r="F7">
        <v>5580</v>
      </c>
      <c r="G7">
        <v>2018</v>
      </c>
      <c r="H7" t="s">
        <v>150</v>
      </c>
      <c r="I7">
        <v>184140</v>
      </c>
      <c r="J7">
        <f t="shared" si="0"/>
        <v>33</v>
      </c>
      <c r="K7" t="s">
        <v>142</v>
      </c>
      <c r="M7" t="s">
        <v>118</v>
      </c>
    </row>
    <row r="8" spans="1:14" x14ac:dyDescent="0.25">
      <c r="A8" t="s">
        <v>128</v>
      </c>
      <c r="B8" t="s">
        <v>55</v>
      </c>
      <c r="C8" t="s">
        <v>59</v>
      </c>
      <c r="D8" t="s">
        <v>113</v>
      </c>
      <c r="E8" t="s">
        <v>145</v>
      </c>
      <c r="F8">
        <v>48000</v>
      </c>
      <c r="G8">
        <v>2021</v>
      </c>
      <c r="H8" t="s">
        <v>137</v>
      </c>
      <c r="I8">
        <v>1056000</v>
      </c>
      <c r="J8">
        <f t="shared" si="0"/>
        <v>22</v>
      </c>
      <c r="K8" t="s">
        <v>140</v>
      </c>
      <c r="M8" t="s">
        <v>118</v>
      </c>
    </row>
    <row r="9" spans="1:14" x14ac:dyDescent="0.25">
      <c r="A9" t="s">
        <v>129</v>
      </c>
      <c r="B9" t="s">
        <v>56</v>
      </c>
      <c r="C9" t="s">
        <v>59</v>
      </c>
      <c r="D9" t="s">
        <v>114</v>
      </c>
      <c r="E9" t="s">
        <v>146</v>
      </c>
      <c r="F9">
        <v>33600</v>
      </c>
      <c r="G9">
        <v>2021</v>
      </c>
      <c r="H9" t="s">
        <v>149</v>
      </c>
      <c r="I9">
        <v>806400</v>
      </c>
      <c r="J9">
        <f t="shared" si="0"/>
        <v>24</v>
      </c>
      <c r="K9" t="s">
        <v>140</v>
      </c>
      <c r="M9" t="s">
        <v>118</v>
      </c>
    </row>
    <row r="10" spans="1:14" x14ac:dyDescent="0.25">
      <c r="A10" t="s">
        <v>130</v>
      </c>
      <c r="B10" t="s">
        <v>57</v>
      </c>
      <c r="C10" t="s">
        <v>71</v>
      </c>
      <c r="D10" t="s">
        <v>113</v>
      </c>
      <c r="E10" t="s">
        <v>147</v>
      </c>
      <c r="F10">
        <v>22000</v>
      </c>
      <c r="G10">
        <v>2020</v>
      </c>
      <c r="H10" t="s">
        <v>137</v>
      </c>
      <c r="I10">
        <v>440000</v>
      </c>
      <c r="J10">
        <f t="shared" si="0"/>
        <v>20</v>
      </c>
      <c r="K10" t="s">
        <v>141</v>
      </c>
      <c r="M10" t="s">
        <v>118</v>
      </c>
    </row>
    <row r="11" spans="1:14" x14ac:dyDescent="0.25">
      <c r="A11" t="s">
        <v>131</v>
      </c>
      <c r="B11" t="s">
        <v>58</v>
      </c>
      <c r="C11" t="s">
        <v>65</v>
      </c>
      <c r="D11" t="s">
        <v>113</v>
      </c>
      <c r="E11" t="s">
        <v>148</v>
      </c>
      <c r="F11">
        <v>18500</v>
      </c>
      <c r="G11">
        <v>2021</v>
      </c>
      <c r="H11" t="s">
        <v>137</v>
      </c>
      <c r="I11">
        <v>370000</v>
      </c>
      <c r="J11">
        <f t="shared" si="0"/>
        <v>20</v>
      </c>
      <c r="K11" t="s">
        <v>143</v>
      </c>
      <c r="M11" t="s">
        <v>119</v>
      </c>
    </row>
  </sheetData>
  <phoneticPr fontId="3"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5252B5D3-1CE1-4662-82C6-098F67C688A2}">
          <x14:formula1>
            <xm:f>data_validation!$A$12:$A$16</xm:f>
          </x14:formula1>
          <xm:sqref>D2:D1048576</xm:sqref>
        </x14:dataValidation>
        <x14:dataValidation type="list" allowBlank="1" showInputMessage="1" showErrorMessage="1" xr:uid="{015831CC-E6C1-41CA-A176-F7F389BF67F1}">
          <x14:formula1>
            <xm:f>data_validation!$C$12:$C$15</xm:f>
          </x14:formula1>
          <xm:sqref>M2:M1048576</xm:sqref>
        </x14:dataValidation>
        <x14:dataValidation type="list" allowBlank="1" showInputMessage="1" showErrorMessage="1" xr:uid="{777E2664-FE79-453C-94C2-25127D3832EE}">
          <x14:formula1>
            <xm:f>data_validation!$E$12:$E$15</xm:f>
          </x14:formula1>
          <xm:sqref>K2:K1048576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E8008-C8E4-4F6E-A037-A099496B2736}">
  <dimension ref="A1:Z38"/>
  <sheetViews>
    <sheetView showGridLines="0" topLeftCell="C16" zoomScale="73" zoomScaleNormal="73" workbookViewId="0">
      <selection activeCell="O33" sqref="O33:Q37"/>
    </sheetView>
  </sheetViews>
  <sheetFormatPr defaultRowHeight="15" x14ac:dyDescent="0.25"/>
  <cols>
    <col min="1" max="1" width="40.7109375" customWidth="1"/>
    <col min="2" max="2" width="25.7109375" customWidth="1"/>
    <col min="4" max="4" width="23.42578125" bestFit="1" customWidth="1"/>
    <col min="5" max="5" width="15.5703125" customWidth="1"/>
    <col min="6" max="6" width="16.42578125" customWidth="1"/>
    <col min="15" max="16" width="39.140625" bestFit="1" customWidth="1"/>
    <col min="17" max="17" width="17" bestFit="1" customWidth="1"/>
  </cols>
  <sheetData>
    <row r="1" spans="1:26" ht="21" x14ac:dyDescent="0.35">
      <c r="A1" s="4" t="s">
        <v>151</v>
      </c>
      <c r="B1" s="4"/>
      <c r="C1" s="4"/>
      <c r="D1" s="4"/>
      <c r="E1" s="4"/>
      <c r="F1" s="4"/>
      <c r="G1" s="4"/>
      <c r="H1" s="4"/>
      <c r="I1" s="4"/>
      <c r="J1" s="4"/>
      <c r="K1" s="4"/>
      <c r="L1" s="4"/>
      <c r="M1" s="4"/>
      <c r="N1" s="4"/>
      <c r="O1" s="4"/>
      <c r="P1" s="4"/>
      <c r="Q1" s="4"/>
      <c r="R1" s="4"/>
      <c r="S1" s="4"/>
      <c r="T1" s="4"/>
      <c r="U1" s="4"/>
      <c r="V1" s="4"/>
      <c r="W1" s="4"/>
      <c r="X1" s="4"/>
      <c r="Y1" s="4"/>
      <c r="Z1" s="4"/>
    </row>
    <row r="3" spans="1:26" x14ac:dyDescent="0.25">
      <c r="A3" s="1" t="s">
        <v>152</v>
      </c>
      <c r="B3" s="11">
        <f ca="1">TODAY()</f>
        <v>46131</v>
      </c>
    </row>
    <row r="6" spans="1:26" x14ac:dyDescent="0.25">
      <c r="O6" t="s">
        <v>168</v>
      </c>
      <c r="P6" t="s">
        <v>169</v>
      </c>
    </row>
    <row r="7" spans="1:26" x14ac:dyDescent="0.25">
      <c r="O7" t="s">
        <v>153</v>
      </c>
      <c r="P7" cm="1">
        <f t="array" ref="P7">COUNTA('Project Registry'!A:S9-COUNTBLANK('Project Registry'!A1:S9))</f>
        <v>1</v>
      </c>
    </row>
    <row r="8" spans="1:26" x14ac:dyDescent="0.25">
      <c r="O8" t="s">
        <v>154</v>
      </c>
      <c r="P8">
        <f>COUNTIF('Project Registry'!H1:H9,"Credits Issued")</f>
        <v>3</v>
      </c>
    </row>
    <row r="9" spans="1:26" x14ac:dyDescent="0.25">
      <c r="O9" t="s">
        <v>155</v>
      </c>
      <c r="P9">
        <f>COUNTIFS('Project Registry'!H2:H100,"Development")+COUNTIFS('Project Registry'!H2:H100,"Validation")+COUNTIFS('Project Registry'!H2:H100,"Registered")</f>
        <v>4</v>
      </c>
    </row>
    <row r="10" spans="1:26" x14ac:dyDescent="0.25">
      <c r="O10" t="s">
        <v>156</v>
      </c>
      <c r="P10">
        <f>SUM('Project Registry'!N2:N100)</f>
        <v>340600</v>
      </c>
    </row>
    <row r="11" spans="1:26" x14ac:dyDescent="0.25">
      <c r="O11" t="s">
        <v>157</v>
      </c>
      <c r="P11">
        <f>SUM('Project Registry'!O2:O100)</f>
        <v>225300</v>
      </c>
    </row>
    <row r="12" spans="1:26" x14ac:dyDescent="0.25">
      <c r="O12" t="s">
        <v>158</v>
      </c>
      <c r="P12">
        <f>SUM('Project Registry'!P2:P100)</f>
        <v>115300</v>
      </c>
    </row>
    <row r="13" spans="1:26" x14ac:dyDescent="0.25">
      <c r="O13" t="s">
        <v>159</v>
      </c>
      <c r="P13" s="5">
        <f>IF(P10&gt;0,P11/P10,0)</f>
        <v>0.66147974163241341</v>
      </c>
    </row>
    <row r="14" spans="1:26" x14ac:dyDescent="0.25">
      <c r="O14" t="s">
        <v>160</v>
      </c>
      <c r="P14">
        <f>SUM('Project Registry'!M2:M100)</f>
        <v>6934500</v>
      </c>
    </row>
    <row r="15" spans="1:26" x14ac:dyDescent="0.25">
      <c r="O15" t="s">
        <v>161</v>
      </c>
      <c r="P15" s="6">
        <f>SUMIF('Credit Issuance Tracker'!D2:D100,"Retirement",'Credit Issuance Tracker'!I2:I100)</f>
        <v>1931832</v>
      </c>
    </row>
    <row r="16" spans="1:26" x14ac:dyDescent="0.25">
      <c r="O16" t="s">
        <v>162</v>
      </c>
      <c r="P16" s="6">
        <f ca="1">IF(P11&gt;0,P16/P11,0)</f>
        <v>0</v>
      </c>
    </row>
    <row r="17" spans="15:22" x14ac:dyDescent="0.25">
      <c r="O17" t="s">
        <v>163</v>
      </c>
      <c r="P17">
        <f>COUNTIF('Project Registry'!G2:G100,"Verra VCS")</f>
        <v>3</v>
      </c>
    </row>
    <row r="18" spans="15:22" x14ac:dyDescent="0.25">
      <c r="O18" t="s">
        <v>164</v>
      </c>
      <c r="P18">
        <f>COUNTIF('Project Registry'!G2:G100,"Gold Standard")</f>
        <v>2</v>
      </c>
    </row>
    <row r="19" spans="15:22" x14ac:dyDescent="0.25">
      <c r="O19" t="s">
        <v>165</v>
      </c>
      <c r="P19">
        <f>COUNTIF('Project Registry'!D2:D100,"Africa")</f>
        <v>3</v>
      </c>
    </row>
    <row r="20" spans="15:22" x14ac:dyDescent="0.25">
      <c r="O20" t="s">
        <v>166</v>
      </c>
      <c r="P20">
        <f>COUNTIF('Project Registry'!D2:D100,"Latin America")</f>
        <v>2</v>
      </c>
    </row>
    <row r="21" spans="15:22" x14ac:dyDescent="0.25">
      <c r="O21" t="s">
        <v>167</v>
      </c>
      <c r="P21">
        <f>COUNTIF('Project Registry'!D2:D100,"Asia Pacific Projects")</f>
        <v>0</v>
      </c>
    </row>
    <row r="25" spans="15:22" x14ac:dyDescent="0.25">
      <c r="O25" t="s">
        <v>3</v>
      </c>
      <c r="P25" t="s">
        <v>171</v>
      </c>
    </row>
    <row r="26" spans="15:22" x14ac:dyDescent="0.25">
      <c r="O26" t="s">
        <v>67</v>
      </c>
      <c r="P26">
        <f>COUNTIF('Project Registry'!D2:D100,"Africa")</f>
        <v>3</v>
      </c>
    </row>
    <row r="27" spans="15:22" x14ac:dyDescent="0.25">
      <c r="O27" t="s">
        <v>61</v>
      </c>
      <c r="P27">
        <f>COUNTIF('Project Registry'!D2:D100,"Latin America")</f>
        <v>2</v>
      </c>
    </row>
    <row r="28" spans="15:22" x14ac:dyDescent="0.25">
      <c r="O28" t="s">
        <v>79</v>
      </c>
      <c r="P28">
        <f>COUNTIF('Project Registry'!D2:D100,"Asia Pacific")</f>
        <v>2</v>
      </c>
    </row>
    <row r="29" spans="15:22" x14ac:dyDescent="0.25">
      <c r="O29" t="s">
        <v>80</v>
      </c>
      <c r="P29">
        <f>COUNTIF('Project Registry'!D2:D100,"Europe")</f>
        <v>1</v>
      </c>
    </row>
    <row r="31" spans="15:22" x14ac:dyDescent="0.25">
      <c r="U31" t="s">
        <v>170</v>
      </c>
      <c r="V31" t="s">
        <v>171</v>
      </c>
    </row>
    <row r="32" spans="15:22" x14ac:dyDescent="0.25">
      <c r="P32" s="5"/>
      <c r="U32" t="s">
        <v>41</v>
      </c>
      <c r="V32">
        <f>COUNTIF('Project Registry'!H2:H100,"Development")</f>
        <v>1</v>
      </c>
    </row>
    <row r="33" spans="15:22" x14ac:dyDescent="0.25">
      <c r="O33" t="s">
        <v>1</v>
      </c>
      <c r="P33" t="s">
        <v>45</v>
      </c>
      <c r="Q33" t="s">
        <v>14</v>
      </c>
      <c r="U33" t="s">
        <v>42</v>
      </c>
      <c r="V33">
        <f>COUNTIF('Project Registry'!H2:H100,"Validation")</f>
        <v>1</v>
      </c>
    </row>
    <row r="34" spans="15:22" x14ac:dyDescent="0.25">
      <c r="O34" t="s">
        <v>59</v>
      </c>
      <c r="P34" s="6">
        <v>144000</v>
      </c>
      <c r="Q34">
        <v>86400</v>
      </c>
      <c r="U34" t="s">
        <v>43</v>
      </c>
      <c r="V34">
        <f>COUNTIF('Project Registry'!H2:H100,"Registered")</f>
        <v>2</v>
      </c>
    </row>
    <row r="35" spans="15:22" x14ac:dyDescent="0.25">
      <c r="O35" t="s">
        <v>71</v>
      </c>
      <c r="P35" s="6">
        <v>110000</v>
      </c>
      <c r="Q35">
        <v>77000</v>
      </c>
      <c r="U35" t="s">
        <v>44</v>
      </c>
      <c r="V35">
        <f>COUNTIF('Project Registry'!H2:H100,"Verification")</f>
        <v>1</v>
      </c>
    </row>
    <row r="36" spans="15:22" x14ac:dyDescent="0.25">
      <c r="O36" t="s">
        <v>173</v>
      </c>
      <c r="P36">
        <v>49600</v>
      </c>
      <c r="Q36">
        <v>43400</v>
      </c>
      <c r="U36" t="s">
        <v>172</v>
      </c>
      <c r="V36">
        <f>COUNTIF('Project Registry'!H2:H100,"Credits Issued")</f>
        <v>3</v>
      </c>
    </row>
    <row r="37" spans="15:22" x14ac:dyDescent="0.25">
      <c r="O37" t="s">
        <v>174</v>
      </c>
      <c r="P37">
        <v>37000</v>
      </c>
      <c r="Q37">
        <v>18500</v>
      </c>
      <c r="U37" t="s">
        <v>47</v>
      </c>
      <c r="V37">
        <f>COUNTIF('Project Registry'!H2:H100,"On Hold")</f>
        <v>0</v>
      </c>
    </row>
    <row r="38" spans="15:22" x14ac:dyDescent="0.25">
      <c r="U38" t="s">
        <v>48</v>
      </c>
      <c r="V38">
        <f>COUNTIF('Project Registry'!H2:H100,"Cancelled")</f>
        <v>0</v>
      </c>
    </row>
  </sheetData>
  <mergeCells count="1">
    <mergeCell ref="A1:Z1"/>
  </mergeCells>
  <pageMargins left="0.7" right="0.7" top="0.75" bottom="0.75" header="0.3" footer="0.3"/>
  <pageSetup paperSize="9" orientation="portrait" horizontalDpi="4294967293" verticalDpi="0" r:id="rId1"/>
  <drawing r:id="rId2"/>
  <tableParts count="4">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73E6-58C6-4C2B-831A-222F19666F8A}">
  <dimension ref="A1:K7"/>
  <sheetViews>
    <sheetView workbookViewId="0">
      <selection activeCell="H5" sqref="H5"/>
    </sheetView>
  </sheetViews>
  <sheetFormatPr defaultRowHeight="15" x14ac:dyDescent="0.25"/>
  <cols>
    <col min="1" max="1" width="9.5703125" bestFit="1" customWidth="1"/>
    <col min="2" max="2" width="24.85546875" bestFit="1" customWidth="1"/>
    <col min="3" max="3" width="34.140625" bestFit="1" customWidth="1"/>
    <col min="4" max="4" width="10.7109375" bestFit="1" customWidth="1"/>
    <col min="6" max="6" width="13.42578125" bestFit="1" customWidth="1"/>
    <col min="7" max="7" width="9.7109375" bestFit="1" customWidth="1"/>
    <col min="8" max="8" width="67.7109375" bestFit="1" customWidth="1"/>
    <col min="9" max="9" width="70.85546875" bestFit="1" customWidth="1"/>
    <col min="10" max="10" width="14.140625" bestFit="1" customWidth="1"/>
    <col min="11" max="11" width="12.42578125" bestFit="1" customWidth="1"/>
  </cols>
  <sheetData>
    <row r="1" spans="1:11" x14ac:dyDescent="0.25">
      <c r="A1" s="2" t="s">
        <v>0</v>
      </c>
      <c r="B1" s="2" t="s">
        <v>1</v>
      </c>
      <c r="C1" s="2" t="s">
        <v>175</v>
      </c>
      <c r="D1" s="2" t="s">
        <v>176</v>
      </c>
      <c r="E1" s="2" t="s">
        <v>112</v>
      </c>
      <c r="F1" s="2" t="s">
        <v>177</v>
      </c>
      <c r="G1" s="2" t="s">
        <v>178</v>
      </c>
      <c r="H1" s="2" t="s">
        <v>179</v>
      </c>
      <c r="I1" s="2" t="s">
        <v>180</v>
      </c>
      <c r="J1" s="2" t="s">
        <v>181</v>
      </c>
      <c r="K1" s="2" t="s">
        <v>17</v>
      </c>
    </row>
    <row r="2" spans="1:11" x14ac:dyDescent="0.25">
      <c r="A2" t="s">
        <v>50</v>
      </c>
      <c r="B2" t="s">
        <v>65</v>
      </c>
      <c r="C2" t="s">
        <v>200</v>
      </c>
      <c r="D2" t="s">
        <v>182</v>
      </c>
      <c r="E2" t="s">
        <v>197</v>
      </c>
      <c r="F2">
        <f ca="1">IF(E2="Complete",0,IF(TODAY()&gt;D2,TODAY()-D2,0))</f>
        <v>0</v>
      </c>
      <c r="G2" t="s">
        <v>185</v>
      </c>
      <c r="H2" t="s">
        <v>206</v>
      </c>
      <c r="I2" t="s">
        <v>201</v>
      </c>
      <c r="J2" t="s">
        <v>70</v>
      </c>
    </row>
    <row r="3" spans="1:11" x14ac:dyDescent="0.25">
      <c r="A3" t="s">
        <v>52</v>
      </c>
      <c r="B3" t="s">
        <v>72</v>
      </c>
      <c r="C3" t="s">
        <v>199</v>
      </c>
      <c r="D3" t="s">
        <v>195</v>
      </c>
      <c r="E3" t="s">
        <v>196</v>
      </c>
      <c r="G3" t="s">
        <v>185</v>
      </c>
      <c r="H3" t="s">
        <v>205</v>
      </c>
      <c r="I3" t="s">
        <v>204</v>
      </c>
      <c r="J3" t="s">
        <v>90</v>
      </c>
    </row>
    <row r="4" spans="1:11" x14ac:dyDescent="0.25">
      <c r="A4" t="s">
        <v>53</v>
      </c>
      <c r="B4" t="s">
        <v>73</v>
      </c>
      <c r="C4" t="s">
        <v>198</v>
      </c>
      <c r="D4" t="s">
        <v>194</v>
      </c>
      <c r="E4" t="s">
        <v>193</v>
      </c>
      <c r="G4" t="s">
        <v>184</v>
      </c>
      <c r="H4" t="s">
        <v>202</v>
      </c>
      <c r="I4" t="s">
        <v>203</v>
      </c>
      <c r="J4" t="s">
        <v>91</v>
      </c>
    </row>
    <row r="5" spans="1:11" x14ac:dyDescent="0.25">
      <c r="A5" t="s">
        <v>55</v>
      </c>
      <c r="B5" t="s">
        <v>93</v>
      </c>
      <c r="C5" t="s">
        <v>188</v>
      </c>
      <c r="D5" t="s">
        <v>191</v>
      </c>
      <c r="E5" t="s">
        <v>193</v>
      </c>
      <c r="G5" t="s">
        <v>183</v>
      </c>
      <c r="H5" t="s">
        <v>212</v>
      </c>
      <c r="I5" t="s">
        <v>211</v>
      </c>
      <c r="J5" t="s">
        <v>101</v>
      </c>
    </row>
    <row r="6" spans="1:11" x14ac:dyDescent="0.25">
      <c r="A6" t="s">
        <v>56</v>
      </c>
      <c r="B6" t="s">
        <v>94</v>
      </c>
      <c r="C6" t="s">
        <v>187</v>
      </c>
      <c r="D6" t="s">
        <v>190</v>
      </c>
      <c r="E6" t="s">
        <v>193</v>
      </c>
      <c r="G6" t="s">
        <v>184</v>
      </c>
      <c r="H6" t="s">
        <v>209</v>
      </c>
      <c r="I6" t="s">
        <v>210</v>
      </c>
      <c r="J6" t="s">
        <v>102</v>
      </c>
    </row>
    <row r="7" spans="1:11" x14ac:dyDescent="0.25">
      <c r="A7" t="s">
        <v>49</v>
      </c>
      <c r="B7" t="s">
        <v>59</v>
      </c>
      <c r="C7" t="s">
        <v>186</v>
      </c>
      <c r="D7" t="s">
        <v>189</v>
      </c>
      <c r="E7" t="s">
        <v>192</v>
      </c>
      <c r="G7" t="s">
        <v>183</v>
      </c>
      <c r="H7" t="s">
        <v>207</v>
      </c>
      <c r="I7" t="s">
        <v>208</v>
      </c>
      <c r="J7" t="s">
        <v>64</v>
      </c>
    </row>
  </sheetData>
  <phoneticPr fontId="3" type="noConversion"/>
  <conditionalFormatting sqref="G2:G1048576 H2">
    <cfRule type="cellIs" dxfId="2" priority="1" operator="equal">
      <formula>"Low"</formula>
    </cfRule>
    <cfRule type="cellIs" dxfId="1" priority="2" operator="equal">
      <formula>"Medium"</formula>
    </cfRule>
    <cfRule type="cellIs" dxfId="0" priority="3" operator="equal">
      <formula>"High"</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594E-C74F-464B-A0BE-31E34C5E3194}">
  <dimension ref="A1:H20"/>
  <sheetViews>
    <sheetView topLeftCell="A8" zoomScale="98" zoomScaleNormal="98" workbookViewId="0">
      <selection activeCell="B19" sqref="B19"/>
    </sheetView>
  </sheetViews>
  <sheetFormatPr defaultRowHeight="15" x14ac:dyDescent="0.25"/>
  <cols>
    <col min="1" max="1" width="100.7109375" customWidth="1"/>
    <col min="2" max="2" width="34.5703125" bestFit="1" customWidth="1"/>
  </cols>
  <sheetData>
    <row r="1" spans="1:8" ht="21" x14ac:dyDescent="0.35">
      <c r="A1" s="4" t="s">
        <v>213</v>
      </c>
      <c r="B1" s="4"/>
      <c r="C1" s="4"/>
      <c r="D1" s="4"/>
      <c r="E1" s="4"/>
      <c r="F1" s="4"/>
      <c r="G1" s="4"/>
      <c r="H1" s="4"/>
    </row>
    <row r="2" spans="1:8" x14ac:dyDescent="0.25">
      <c r="A2" t="s">
        <v>214</v>
      </c>
      <c r="B2" t="s">
        <v>215</v>
      </c>
    </row>
    <row r="3" spans="1:8" x14ac:dyDescent="0.25">
      <c r="A3" t="s">
        <v>216</v>
      </c>
      <c r="B3" t="s">
        <v>217</v>
      </c>
    </row>
    <row r="4" spans="1:8" x14ac:dyDescent="0.25">
      <c r="A4" t="s">
        <v>218</v>
      </c>
      <c r="B4" s="3">
        <f ca="1">TODAY()</f>
        <v>46131</v>
      </c>
    </row>
    <row r="6" spans="1:8" ht="15.75" thickBot="1" x14ac:dyDescent="0.3">
      <c r="A6" s="7" t="s">
        <v>219</v>
      </c>
      <c r="B6" s="7"/>
    </row>
    <row r="7" spans="1:8" ht="15.75" thickTop="1" x14ac:dyDescent="0.25">
      <c r="A7" t="s">
        <v>222</v>
      </c>
      <c r="B7">
        <f>'KPI Dashboard'!P7</f>
        <v>1</v>
      </c>
    </row>
    <row r="8" spans="1:8" x14ac:dyDescent="0.25">
      <c r="A8" t="s">
        <v>223</v>
      </c>
      <c r="B8">
        <f>'KPI Dashboard'!P10</f>
        <v>340600</v>
      </c>
    </row>
    <row r="9" spans="1:8" x14ac:dyDescent="0.25">
      <c r="A9" t="s">
        <v>224</v>
      </c>
      <c r="B9">
        <f>'KPI Dashboard'!P11</f>
        <v>225300</v>
      </c>
    </row>
    <row r="10" spans="1:8" x14ac:dyDescent="0.25">
      <c r="A10" t="s">
        <v>225</v>
      </c>
    </row>
    <row r="11" spans="1:8" x14ac:dyDescent="0.25">
      <c r="A11" t="s">
        <v>226</v>
      </c>
      <c r="B11">
        <f>'KPI Dashboard'!P8</f>
        <v>3</v>
      </c>
    </row>
    <row r="12" spans="1:8" x14ac:dyDescent="0.25">
      <c r="A12" t="s">
        <v>227</v>
      </c>
      <c r="B12">
        <f ca="1">'KPI Dashboard'!P16</f>
        <v>0</v>
      </c>
    </row>
    <row r="13" spans="1:8" x14ac:dyDescent="0.25">
      <c r="A13" t="s">
        <v>220</v>
      </c>
      <c r="B13" s="6">
        <f>'KPI Dashboard'!P15</f>
        <v>1931832</v>
      </c>
    </row>
    <row r="14" spans="1:8" x14ac:dyDescent="0.25">
      <c r="A14" t="s">
        <v>221</v>
      </c>
      <c r="B14">
        <f ca="1">'KPI Dashboard'!P16</f>
        <v>0</v>
      </c>
    </row>
    <row r="17" spans="1:2" ht="20.25" customHeight="1" thickBot="1" x14ac:dyDescent="0.3">
      <c r="A17" s="8" t="s">
        <v>228</v>
      </c>
      <c r="B17" s="9"/>
    </row>
    <row r="18" spans="1:2" ht="110.25" customHeight="1" thickTop="1" x14ac:dyDescent="0.25">
      <c r="A18" s="10" t="s">
        <v>229</v>
      </c>
    </row>
    <row r="20" spans="1:2" ht="45" x14ac:dyDescent="0.25">
      <c r="A20" s="10" t="s">
        <v>230</v>
      </c>
    </row>
  </sheetData>
  <mergeCells count="2">
    <mergeCell ref="A1:H1"/>
    <mergeCell ref="A6:B6"/>
  </mergeCells>
  <pageMargins left="0.7" right="0.7" top="0.75" bottom="0.75" header="0.3" footer="0.3"/>
  <ignoredErrors>
    <ignoredError sqref="B1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A37C2-82B6-4322-8EAB-33D2A3DC6B0F}">
  <dimension ref="A2:G16"/>
  <sheetViews>
    <sheetView workbookViewId="0">
      <selection activeCell="E15" sqref="E15"/>
    </sheetView>
  </sheetViews>
  <sheetFormatPr defaultRowHeight="15" x14ac:dyDescent="0.25"/>
  <cols>
    <col min="1" max="1" width="28.28515625" bestFit="1" customWidth="1"/>
    <col min="3" max="3" width="16.85546875" bestFit="1" customWidth="1"/>
    <col min="5" max="5" width="33.28515625" bestFit="1" customWidth="1"/>
    <col min="7" max="8" width="13.5703125" bestFit="1" customWidth="1"/>
  </cols>
  <sheetData>
    <row r="2" spans="1:7" x14ac:dyDescent="0.25">
      <c r="A2" t="s">
        <v>19</v>
      </c>
      <c r="C2" t="s">
        <v>26</v>
      </c>
      <c r="E2" t="s">
        <v>34</v>
      </c>
      <c r="G2" t="s">
        <v>40</v>
      </c>
    </row>
    <row r="3" spans="1:7" x14ac:dyDescent="0.25">
      <c r="A3" t="s">
        <v>20</v>
      </c>
      <c r="C3" t="s">
        <v>27</v>
      </c>
      <c r="E3" t="s">
        <v>35</v>
      </c>
      <c r="G3" t="s">
        <v>41</v>
      </c>
    </row>
    <row r="4" spans="1:7" x14ac:dyDescent="0.25">
      <c r="A4" t="s">
        <v>21</v>
      </c>
      <c r="C4" t="s">
        <v>28</v>
      </c>
      <c r="E4" t="s">
        <v>36</v>
      </c>
      <c r="G4" t="s">
        <v>42</v>
      </c>
    </row>
    <row r="5" spans="1:7" x14ac:dyDescent="0.25">
      <c r="A5" t="s">
        <v>22</v>
      </c>
      <c r="C5" t="s">
        <v>29</v>
      </c>
      <c r="E5" t="s">
        <v>37</v>
      </c>
      <c r="G5" t="s">
        <v>43</v>
      </c>
    </row>
    <row r="6" spans="1:7" x14ac:dyDescent="0.25">
      <c r="A6" t="s">
        <v>23</v>
      </c>
      <c r="C6" t="s">
        <v>30</v>
      </c>
      <c r="E6" t="s">
        <v>38</v>
      </c>
      <c r="G6" t="s">
        <v>44</v>
      </c>
    </row>
    <row r="7" spans="1:7" x14ac:dyDescent="0.25">
      <c r="A7" t="s">
        <v>24</v>
      </c>
      <c r="C7" t="s">
        <v>31</v>
      </c>
      <c r="E7" t="s">
        <v>39</v>
      </c>
      <c r="G7" t="s">
        <v>45</v>
      </c>
    </row>
    <row r="8" spans="1:7" x14ac:dyDescent="0.25">
      <c r="A8" t="s">
        <v>25</v>
      </c>
      <c r="C8" t="s">
        <v>32</v>
      </c>
      <c r="G8" t="s">
        <v>46</v>
      </c>
    </row>
    <row r="9" spans="1:7" x14ac:dyDescent="0.25">
      <c r="C9" t="s">
        <v>33</v>
      </c>
      <c r="G9" t="s">
        <v>47</v>
      </c>
    </row>
    <row r="10" spans="1:7" x14ac:dyDescent="0.25">
      <c r="G10" t="s">
        <v>48</v>
      </c>
    </row>
    <row r="12" spans="1:7" x14ac:dyDescent="0.25">
      <c r="A12" t="s">
        <v>113</v>
      </c>
      <c r="C12" t="s">
        <v>118</v>
      </c>
      <c r="E12" t="s">
        <v>140</v>
      </c>
    </row>
    <row r="13" spans="1:7" x14ac:dyDescent="0.25">
      <c r="A13" t="s">
        <v>114</v>
      </c>
      <c r="C13" t="s">
        <v>119</v>
      </c>
      <c r="E13" t="s">
        <v>141</v>
      </c>
    </row>
    <row r="14" spans="1:7" x14ac:dyDescent="0.25">
      <c r="A14" t="s">
        <v>115</v>
      </c>
      <c r="C14" t="s">
        <v>120</v>
      </c>
      <c r="E14" t="s">
        <v>142</v>
      </c>
    </row>
    <row r="15" spans="1:7" x14ac:dyDescent="0.25">
      <c r="A15" t="s">
        <v>116</v>
      </c>
      <c r="C15" t="s">
        <v>48</v>
      </c>
      <c r="E15" t="s">
        <v>143</v>
      </c>
    </row>
    <row r="16" spans="1:7" x14ac:dyDescent="0.25">
      <c r="A16"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Registry</vt:lpstr>
      <vt:lpstr>Credit Issuance Tracker</vt:lpstr>
      <vt:lpstr>KPI Dashboard</vt:lpstr>
      <vt:lpstr>Risk and Milestone Tracker</vt:lpstr>
      <vt:lpstr>Donor Report Summary</vt:lpstr>
      <vt:lpstr>data_validation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sane</dc:creator>
  <cp:lastModifiedBy>sane</cp:lastModifiedBy>
  <dcterms:created xsi:type="dcterms:W3CDTF">2026-04-18T16:10:19Z</dcterms:created>
  <dcterms:modified xsi:type="dcterms:W3CDTF">2026-04-19T07:51:17Z</dcterms:modified>
</cp:coreProperties>
</file>